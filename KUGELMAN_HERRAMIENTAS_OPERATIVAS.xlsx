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2. Alumnos por Producto" sheetId="2" r:id="rId2"/>
    <sheet name="3. Capacidad y Grupos" sheetId="3" r:id="rId3"/>
    <sheet name="4. Registro de Bajas" sheetId="4" r:id="rId4"/>
    <sheet name="5. Tracker de Leads" sheetId="5" r:id="rId5"/>
    <sheet name="6. Registro de Inscripciones" sheetId="6" r:id="rId6"/>
    <sheet name="7. Dashboard KPIs" sheetId="7" r:id="rId7"/>
    <sheet name="8. Simulador de Escenarios" sheetId="8" r:id="rId8"/>
    <sheet name="9. Datos Faltantes" sheetId="9" r:id="rId9"/>
  </sheets>
  <calcPr fullCalcOnLoad="1"/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4" borderId="1" xfId="0" applyFont="1" applyFill="1" applyBorder="1"/>
    <xf numFmtId="0" fontId="2" fillId="0" borderId="0" xfId="0" applyFont="1"/>
    <xf numFmtId="0" fontId="0" fillId="0" borderId="1" xfId="0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" customWidth="1"/>
    <col min="2" max="2" width="60" customWidth="1"/>
    <col min="3" max="3" width="40" customWidth="1"/>
  </cols>
  <sheetData>
    <row r="1">
      <c r="A1" s="4" t="inlineStr">
        <is>
          <t xml:space="preserve">KUGELMAN ACADEMY — HERRAMIENTAS OPERATIVAS DE MARKETING</t>
        </is>
      </c>
    </row>
    <row r="2">
      <c r="A2" t="inlineStr">
        <is>
          <t xml:space="preserve">Sep–Dic 2026 · Sistema vivo de captura y control</t>
        </is>
      </c>
    </row>
    <row r="3">
      <c r="A3"/>
    </row>
    <row r="4">
      <c r="A4"/>
      <c r="B4" s="1" t="inlineStr">
        <is>
          <t xml:space="preserve">CÓMO USAR ESTE LIBRO</t>
        </is>
      </c>
      <c r="C4" s="1"/>
    </row>
    <row r="5">
      <c r="A5"/>
      <c r="B5" t="inlineStr">
        <is>
          <t xml:space="preserve">Cada pestaña es una herramienta. Llena SOLO las celdas amarillas.</t>
        </is>
      </c>
      <c r="C5"/>
    </row>
    <row r="6">
      <c r="A6"/>
      <c r="B6" t="inlineStr">
        <is>
          <t xml:space="preserve">Las celdas grises se calculan solas (no las toques).</t>
        </is>
      </c>
      <c r="C6"/>
    </row>
    <row r="7">
      <c r="A7"/>
      <c r="B7" t="inlineStr">
        <is>
          <t xml:space="preserve">Empieza por lo marcado como 🔴 CRÍTICO en 'Datos Faltantes'.</t>
        </is>
      </c>
      <c r="C7"/>
    </row>
    <row r="8">
      <c r="A8"/>
    </row>
    <row r="9">
      <c r="A9"/>
      <c r="B9" s="1" t="inlineStr">
        <is>
          <t xml:space="preserve">ORDEN SUGERIDO DE LLENADO</t>
        </is>
      </c>
      <c r="C9" s="1" t="inlineStr">
        <is>
          <t xml:space="preserve">PESTAÑA</t>
        </is>
      </c>
    </row>
    <row r="10">
      <c r="A10"/>
      <c r="B10" t="inlineStr">
        <is>
          <t xml:space="preserve">1. Cuántos alumnos hay y en qué producto</t>
        </is>
      </c>
      <c r="C10" t="inlineStr">
        <is>
          <t xml:space="preserve">2. Alumnos por Producto</t>
        </is>
      </c>
    </row>
    <row r="11">
      <c r="A11"/>
      <c r="B11" t="inlineStr">
        <is>
          <t xml:space="preserve">2. Qué grupos hay y cuántos lugares libres</t>
        </is>
      </c>
      <c r="C11" t="inlineStr">
        <is>
          <t xml:space="preserve">3. Capacidad y Grupos</t>
        </is>
      </c>
    </row>
    <row r="12">
      <c r="A12"/>
      <c r="B12" t="inlineStr">
        <is>
          <t xml:space="preserve">3. Registrar cada baja en cuanto ocurra (para medir churn)</t>
        </is>
      </c>
      <c r="C12" t="inlineStr">
        <is>
          <t xml:space="preserve">4. Registro de Bajas</t>
        </is>
      </c>
    </row>
    <row r="13">
      <c r="A13"/>
      <c r="B13" t="inlineStr">
        <is>
          <t xml:space="preserve">4. Registrar cada lead nuevo (con SEGMENTO obligatorio)</t>
        </is>
      </c>
      <c r="C13" t="inlineStr">
        <is>
          <t xml:space="preserve">5. Tracker de Leads</t>
        </is>
      </c>
    </row>
    <row r="14">
      <c r="A14"/>
      <c r="B14" t="inlineStr">
        <is>
          <t xml:space="preserve">5. Registrar cada inscripción</t>
        </is>
      </c>
      <c r="C14" t="inlineStr">
        <is>
          <t xml:space="preserve">6. Registro de Inscripciones</t>
        </is>
      </c>
    </row>
    <row r="15">
      <c r="A15"/>
      <c r="B15" t="inlineStr">
        <is>
          <t xml:space="preserve">6. Vaciar números del mes para ver KPIs y ROI</t>
        </is>
      </c>
      <c r="C15" t="inlineStr">
        <is>
          <t xml:space="preserve">7. Dashboard KPIs</t>
        </is>
      </c>
    </row>
    <row r="16">
      <c r="A16"/>
      <c r="B16" t="inlineStr">
        <is>
          <t xml:space="preserve">7. Jugar con la meta y ver cuántos leads/pauta hacen falta</t>
        </is>
      </c>
      <c r="C16" t="inlineStr">
        <is>
          <t xml:space="preserve">8. Simulador de Escenarios</t>
        </is>
      </c>
    </row>
    <row r="17">
      <c r="A17"/>
    </row>
    <row r="18">
      <c r="A18"/>
      <c r="B18" s="1" t="inlineStr">
        <is>
          <t xml:space="preserve">REGLAS DE ORO (del negocio)</t>
        </is>
      </c>
      <c r="C18" s="1"/>
    </row>
    <row r="19">
      <c r="A19"/>
      <c r="B19" t="inlineStr">
        <is>
          <t xml:space="preserve">NO se cobra inscripción. Nunca ofrecer 'inscripción gratis'.</t>
        </is>
      </c>
      <c r="C19"/>
    </row>
    <row r="20">
      <c r="A20"/>
      <c r="B20" t="inlineStr">
        <is>
          <t xml:space="preserve">Precio mensualidad de referencia: $800 MXN.</t>
        </is>
      </c>
      <c r="C20"/>
    </row>
    <row r="21">
      <c r="A21"/>
      <c r="B21" t="inlineStr">
        <is>
          <t xml:space="preserve">Grupos de máx. 12. Beneficio operativo desde ~6.</t>
        </is>
      </c>
      <c r="C21"/>
    </row>
    <row r="22">
      <c r="A22"/>
      <c r="B22" t="inlineStr">
        <is>
          <t xml:space="preserve">Llenar grupos actuales antes de abrir nuevos.</t>
        </is>
      </c>
      <c r="C22"/>
    </row>
    <row r="23">
      <c r="A23"/>
      <c r="B23" t="inlineStr">
        <is>
          <t xml:space="preserve">No competir por precio: competir por valor (grupos 12, método).</t>
        </is>
      </c>
      <c r="C23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4" customWidth="1"/>
    <col min="4" max="4" width="16" customWidth="1"/>
    <col min="5" max="5" width="20" customWidth="1"/>
  </cols>
  <sheetData>
    <row r="1">
      <c r="A1" s="1" t="inlineStr">
        <is>
          <t xml:space="preserve">Producto</t>
        </is>
      </c>
      <c r="B1" s="1" t="inlineStr">
        <is>
          <t xml:space="preserve">Alumnos activos</t>
        </is>
      </c>
      <c r="C1" s="1" t="inlineStr">
        <is>
          <t xml:space="preserve">% del total</t>
        </is>
      </c>
      <c r="D1" s="1" t="inlineStr">
        <is>
          <t xml:space="preserve">Mensualidad $</t>
        </is>
      </c>
      <c r="E1" s="1" t="inlineStr">
        <is>
          <t xml:space="preserve">Ingreso mensual estimado $</t>
        </is>
      </c>
    </row>
    <row r="2">
      <c r="A2" s="5" t="inlineStr">
        <is>
          <t xml:space="preserve">Kids</t>
        </is>
      </c>
      <c r="B2" s="2"/>
      <c r="C2" s="3">
        <f>IF($B$8=0,0,B2/$B$8)</f>
      </c>
      <c r="D2" s="2">
        <v>800</v>
      </c>
      <c r="E2" s="3">
        <f>B2*D2</f>
      </c>
    </row>
    <row r="3">
      <c r="A3" s="5" t="inlineStr">
        <is>
          <t xml:space="preserve">Junior</t>
        </is>
      </c>
      <c r="B3" s="2"/>
      <c r="C3" s="3">
        <f>IF($B$8=0,0,B3/$B$8)</f>
      </c>
      <c r="D3" s="2">
        <v>800</v>
      </c>
      <c r="E3" s="3">
        <f>B3*D3</f>
      </c>
    </row>
    <row r="4">
      <c r="A4" s="5" t="inlineStr">
        <is>
          <t xml:space="preserve">College</t>
        </is>
      </c>
      <c r="B4" s="2"/>
      <c r="C4" s="3">
        <f>IF($B$8=0,0,B4/$B$8)</f>
      </c>
      <c r="D4" s="2">
        <v>800</v>
      </c>
      <c r="E4" s="3">
        <f>B4*D4</f>
      </c>
    </row>
    <row r="5">
      <c r="A5" s="5" t="inlineStr">
        <is>
          <t xml:space="preserve">Parenthood</t>
        </is>
      </c>
      <c r="B5" s="2"/>
      <c r="C5" s="3">
        <f>IF($B$8=0,0,B5/$B$8)</f>
      </c>
      <c r="D5" s="2">
        <v>800</v>
      </c>
      <c r="E5" s="3">
        <f>B5*D5</f>
      </c>
    </row>
    <row r="6">
      <c r="A6" s="5" t="inlineStr">
        <is>
          <t xml:space="preserve">Certification</t>
        </is>
      </c>
      <c r="B6" s="2"/>
      <c r="C6" s="3">
        <f>IF($B$8=0,0,B6/$B$8)</f>
      </c>
      <c r="D6" s="2">
        <v>800</v>
      </c>
      <c r="E6" s="3">
        <f>B6*D6</f>
      </c>
    </row>
    <row r="7">
      <c r="A7" s="5" t="inlineStr">
        <is>
          <t xml:space="preserve">KugelCamp / Otros</t>
        </is>
      </c>
      <c r="B7" s="2"/>
      <c r="C7" s="3">
        <f>IF($B$8=0,0,B7/$B$8)</f>
      </c>
      <c r="D7" s="2">
        <v>800</v>
      </c>
      <c r="E7" s="3">
        <f>B7*D7</f>
      </c>
    </row>
    <row r="8">
      <c r="A8" s="4" t="inlineStr">
        <is>
          <t xml:space="preserve">TOTAL</t>
        </is>
      </c>
      <c r="B8" s="3">
        <f>SUM(B2:B7)</f>
      </c>
      <c r="C8" s="3">
        <f>IF($B$8=0,0,SUM(C2:C7))</f>
      </c>
      <c r="D8"/>
      <c r="E8" s="3">
        <f>SUM(E2:E7)</f>
      </c>
    </row>
    <row r="9">
      <c r="A9"/>
    </row>
    <row r="10">
      <c r="A10" s="4" t="inlineStr">
        <is>
          <t xml:space="preserve">Nota:</t>
        </is>
      </c>
      <c r="B10" t="inlineStr">
        <is>
          <t xml:space="preserve">Escribe el % como decimal se formatea solo. Ajusta la mensualidad si difiere por producto.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6" customWidth="1"/>
    <col min="3" max="3" width="14" customWidth="1"/>
    <col min="4" max="4" width="16" customWidth="1"/>
    <col min="5" max="5" width="18" customWidth="1"/>
    <col min="6" max="6" width="12" customWidth="1"/>
    <col min="7" max="7" width="14" customWidth="1"/>
    <col min="8" max="8" width="13" customWidth="1"/>
    <col min="9" max="9" width="12" customWidth="1"/>
    <col min="10" max="10" width="22" customWidth="1"/>
    <col min="11" max="11" width="24" customWidth="1"/>
  </cols>
  <sheetData>
    <row r="1">
      <c r="A1" s="1" t="inlineStr">
        <is>
          <t xml:space="preserve">Grupo / ID</t>
        </is>
      </c>
      <c r="B1" s="1" t="inlineStr">
        <is>
          <t xml:space="preserve">Producto</t>
        </is>
      </c>
      <c r="C1" s="1" t="inlineStr">
        <is>
          <t xml:space="preserve">Días</t>
        </is>
      </c>
      <c r="D1" s="1" t="inlineStr">
        <is>
          <t xml:space="preserve">Horario</t>
        </is>
      </c>
      <c r="E1" s="1" t="inlineStr">
        <is>
          <t xml:space="preserve">Profesor</t>
        </is>
      </c>
      <c r="F1" s="1" t="inlineStr">
        <is>
          <t xml:space="preserve">Cap. máx</t>
        </is>
      </c>
      <c r="G1" s="1" t="inlineStr">
        <is>
          <t xml:space="preserve">Alumnos hoy</t>
        </is>
      </c>
      <c r="H1" s="1" t="inlineStr">
        <is>
          <t xml:space="preserve">Lugares libres</t>
        </is>
      </c>
      <c r="I1" s="1" t="inlineStr">
        <is>
          <t xml:space="preserve">% ocup.</t>
        </is>
      </c>
      <c r="J1" s="1" t="inlineStr">
        <is>
          <t xml:space="preserve">Estado</t>
        </is>
      </c>
      <c r="K1" s="1" t="inlineStr">
        <is>
          <t xml:space="preserve">Notas</t>
        </is>
      </c>
    </row>
    <row r="2">
      <c r="A2" s="2"/>
      <c r="B2" s="2"/>
      <c r="C2" s="2"/>
      <c r="D2" s="2"/>
      <c r="E2" s="2"/>
      <c r="F2" s="2">
        <v>12</v>
      </c>
      <c r="G2" s="2"/>
      <c r="H2" s="3">
        <f>IF(F2="","",F2-G2)</f>
      </c>
      <c r="I2" s="3">
        <f>IF(OR(F2="",F2=0),"",G2/F2)</f>
      </c>
      <c r="J2" s="2"/>
      <c r="K2" s="2"/>
    </row>
    <row r="3">
      <c r="A3" s="2"/>
      <c r="B3" s="2"/>
      <c r="C3" s="2"/>
      <c r="D3" s="2"/>
      <c r="E3" s="2"/>
      <c r="F3" s="2">
        <v>12</v>
      </c>
      <c r="G3" s="2"/>
      <c r="H3" s="3">
        <f>IF(F3="","",F3-G3)</f>
      </c>
      <c r="I3" s="3">
        <f>IF(OR(F3="",F3=0),"",G3/F3)</f>
      </c>
      <c r="J3" s="2"/>
      <c r="K3" s="2"/>
    </row>
    <row r="4">
      <c r="A4" s="2"/>
      <c r="B4" s="2"/>
      <c r="C4" s="2"/>
      <c r="D4" s="2"/>
      <c r="E4" s="2"/>
      <c r="F4" s="2">
        <v>12</v>
      </c>
      <c r="G4" s="2"/>
      <c r="H4" s="3">
        <f>IF(F4="","",F4-G4)</f>
      </c>
      <c r="I4" s="3">
        <f>IF(OR(F4="",F4=0),"",G4/F4)</f>
      </c>
      <c r="J4" s="2"/>
      <c r="K4" s="2"/>
    </row>
    <row r="5">
      <c r="A5" s="2"/>
      <c r="B5" s="2"/>
      <c r="C5" s="2"/>
      <c r="D5" s="2"/>
      <c r="E5" s="2"/>
      <c r="F5" s="2">
        <v>12</v>
      </c>
      <c r="G5" s="2"/>
      <c r="H5" s="3">
        <f>IF(F5="","",F5-G5)</f>
      </c>
      <c r="I5" s="3">
        <f>IF(OR(F5="",F5=0),"",G5/F5)</f>
      </c>
      <c r="J5" s="2"/>
      <c r="K5" s="2"/>
    </row>
    <row r="6">
      <c r="A6" s="2"/>
      <c r="B6" s="2"/>
      <c r="C6" s="2"/>
      <c r="D6" s="2"/>
      <c r="E6" s="2"/>
      <c r="F6" s="2">
        <v>12</v>
      </c>
      <c r="G6" s="2"/>
      <c r="H6" s="3">
        <f>IF(F6="","",F6-G6)</f>
      </c>
      <c r="I6" s="3">
        <f>IF(OR(F6="",F6=0),"",G6/F6)</f>
      </c>
      <c r="J6" s="2"/>
      <c r="K6" s="2"/>
    </row>
    <row r="7">
      <c r="A7" s="2"/>
      <c r="B7" s="2"/>
      <c r="C7" s="2"/>
      <c r="D7" s="2"/>
      <c r="E7" s="2"/>
      <c r="F7" s="2">
        <v>12</v>
      </c>
      <c r="G7" s="2"/>
      <c r="H7" s="3">
        <f>IF(F7="","",F7-G7)</f>
      </c>
      <c r="I7" s="3">
        <f>IF(OR(F7="",F7=0),"",G7/F7)</f>
      </c>
      <c r="J7" s="2"/>
      <c r="K7" s="2"/>
    </row>
    <row r="8">
      <c r="A8" s="2"/>
      <c r="B8" s="2"/>
      <c r="C8" s="2"/>
      <c r="D8" s="2"/>
      <c r="E8" s="2"/>
      <c r="F8" s="2">
        <v>12</v>
      </c>
      <c r="G8" s="2"/>
      <c r="H8" s="3">
        <f>IF(F8="","",F8-G8)</f>
      </c>
      <c r="I8" s="3">
        <f>IF(OR(F8="",F8=0),"",G8/F8)</f>
      </c>
      <c r="J8" s="2"/>
      <c r="K8" s="2"/>
    </row>
    <row r="9">
      <c r="A9" s="2"/>
      <c r="B9" s="2"/>
      <c r="C9" s="2"/>
      <c r="D9" s="2"/>
      <c r="E9" s="2"/>
      <c r="F9" s="2">
        <v>12</v>
      </c>
      <c r="G9" s="2"/>
      <c r="H9" s="3">
        <f>IF(F9="","",F9-G9)</f>
      </c>
      <c r="I9" s="3">
        <f>IF(OR(F9="",F9=0),"",G9/F9)</f>
      </c>
      <c r="J9" s="2"/>
      <c r="K9" s="2"/>
    </row>
    <row r="10">
      <c r="A10" s="2"/>
      <c r="B10" s="2"/>
      <c r="C10" s="2"/>
      <c r="D10" s="2"/>
      <c r="E10" s="2"/>
      <c r="F10" s="2">
        <v>12</v>
      </c>
      <c r="G10" s="2"/>
      <c r="H10" s="3">
        <f>IF(F10="","",F10-G10)</f>
      </c>
      <c r="I10" s="3">
        <f>IF(OR(F10="",F10=0),"",G10/F10)</f>
      </c>
      <c r="J10" s="2"/>
      <c r="K10" s="2"/>
    </row>
    <row r="11">
      <c r="A11" s="2"/>
      <c r="B11" s="2"/>
      <c r="C11" s="2"/>
      <c r="D11" s="2"/>
      <c r="E11" s="2"/>
      <c r="F11" s="2">
        <v>12</v>
      </c>
      <c r="G11" s="2"/>
      <c r="H11" s="3">
        <f>IF(F11="","",F11-G11)</f>
      </c>
      <c r="I11" s="3">
        <f>IF(OR(F11="",F11=0),"",G11/F11)</f>
      </c>
      <c r="J11" s="2"/>
      <c r="K11" s="2"/>
    </row>
    <row r="12">
      <c r="A12" s="2"/>
      <c r="B12" s="2"/>
      <c r="C12" s="2"/>
      <c r="D12" s="2"/>
      <c r="E12" s="2"/>
      <c r="F12" s="2">
        <v>12</v>
      </c>
      <c r="G12" s="2"/>
      <c r="H12" s="3">
        <f>IF(F12="","",F12-G12)</f>
      </c>
      <c r="I12" s="3">
        <f>IF(OR(F12="",F12=0),"",G12/F12)</f>
      </c>
      <c r="J12" s="2"/>
      <c r="K12" s="2"/>
    </row>
    <row r="13">
      <c r="A13" s="2"/>
      <c r="B13" s="2"/>
      <c r="C13" s="2"/>
      <c r="D13" s="2"/>
      <c r="E13" s="2"/>
      <c r="F13" s="2">
        <v>12</v>
      </c>
      <c r="G13" s="2"/>
      <c r="H13" s="3">
        <f>IF(F13="","",F13-G13)</f>
      </c>
      <c r="I13" s="3">
        <f>IF(OR(F13="",F13=0),"",G13/F13)</f>
      </c>
      <c r="J13" s="2"/>
      <c r="K13" s="2"/>
    </row>
    <row r="14">
      <c r="A14" s="2"/>
      <c r="B14" s="2"/>
      <c r="C14" s="2"/>
      <c r="D14" s="2"/>
      <c r="E14" s="2"/>
      <c r="F14" s="2">
        <v>12</v>
      </c>
      <c r="G14" s="2"/>
      <c r="H14" s="3">
        <f>IF(F14="","",F14-G14)</f>
      </c>
      <c r="I14" s="3">
        <f>IF(OR(F14="",F14=0),"",G14/F14)</f>
      </c>
      <c r="J14" s="2"/>
      <c r="K14" s="2"/>
    </row>
    <row r="15">
      <c r="A15" s="2"/>
      <c r="B15" s="2"/>
      <c r="C15" s="2"/>
      <c r="D15" s="2"/>
      <c r="E15" s="2"/>
      <c r="F15" s="2">
        <v>12</v>
      </c>
      <c r="G15" s="2"/>
      <c r="H15" s="3">
        <f>IF(F15="","",F15-G15)</f>
      </c>
      <c r="I15" s="3">
        <f>IF(OR(F15="",F15=0),"",G15/F15)</f>
      </c>
      <c r="J15" s="2"/>
      <c r="K15" s="2"/>
    </row>
    <row r="16">
      <c r="A16" s="2"/>
      <c r="B16" s="2"/>
      <c r="C16" s="2"/>
      <c r="D16" s="2"/>
      <c r="E16" s="2"/>
      <c r="F16" s="2">
        <v>12</v>
      </c>
      <c r="G16" s="2"/>
      <c r="H16" s="3">
        <f>IF(F16="","",F16-G16)</f>
      </c>
      <c r="I16" s="3">
        <f>IF(OR(F16="",F16=0),"",G16/F16)</f>
      </c>
      <c r="J16" s="2"/>
      <c r="K16" s="2"/>
    </row>
    <row r="17">
      <c r="A17" s="4" t="inlineStr">
        <is>
          <t xml:space="preserve">TOTALES</t>
        </is>
      </c>
      <c r="B17"/>
      <c r="C17"/>
      <c r="D17"/>
      <c r="E17"/>
      <c r="F17" s="3">
        <f>SUM(F2:F16)</f>
      </c>
      <c r="G17" s="3">
        <f>SUM(G2:G16)</f>
      </c>
      <c r="H17" s="3">
        <f>SUM(H2:H16)</f>
      </c>
      <c r="I17" s="3">
        <f>IF(SUM(F2:F16)=0,"",SUM(G2:G16)/SUM(F2:F16))</f>
      </c>
      <c r="J17"/>
      <c r="K17"/>
    </row>
    <row r="18">
      <c r="A18"/>
    </row>
    <row r="19">
      <c r="A19" s="4" t="inlineStr">
        <is>
          <t xml:space="preserve">Estado sugerido:</t>
        </is>
      </c>
      <c r="B19" t="inlineStr">
        <is>
          <t xml:space="preserve">Prioritario llenar / Lleno / Nuevo / En riesgo</t>
        </is>
      </c>
    </row>
    <row r="20">
      <c r="A20" s="4" t="inlineStr">
        <is>
          <t xml:space="preserve">Nº de profesores:</t>
        </is>
      </c>
      <c r="B20" s="2"/>
      <c r="C20" s="4" t="inlineStr">
        <is>
          <t xml:space="preserve">Techo total de alumnos de la academia:</t>
        </is>
      </c>
      <c r="D20" s="2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16" customWidth="1"/>
    <col min="4" max="4" width="12" customWidth="1"/>
    <col min="5" max="5" width="16" customWidth="1"/>
    <col min="6" max="6" width="26" customWidth="1"/>
    <col min="7" max="7" width="30" customWidth="1"/>
    <col min="8" max="8" width="14" customWidth="1"/>
    <col min="9" max="9" width="20" customWidth="1"/>
  </cols>
  <sheetData>
    <row r="1">
      <c r="A1" s="1" t="inlineStr">
        <is>
          <t xml:space="preserve">Fecha baja</t>
        </is>
      </c>
      <c r="B1" s="1" t="inlineStr">
        <is>
          <t xml:space="preserve">Nombre</t>
        </is>
      </c>
      <c r="C1" s="1" t="inlineStr">
        <is>
          <t xml:space="preserve">Producto</t>
        </is>
      </c>
      <c r="D1" s="1" t="inlineStr">
        <is>
          <t xml:space="preserve">Grupo</t>
        </is>
      </c>
      <c r="E1" s="1" t="inlineStr">
        <is>
          <t xml:space="preserve">Meses permanencia</t>
        </is>
      </c>
      <c r="F1" s="1" t="inlineStr">
        <is>
          <t xml:space="preserve">Motivo</t>
        </is>
      </c>
      <c r="G1" s="1" t="inlineStr">
        <is>
          <t xml:space="preserve">Detalle</t>
        </is>
      </c>
      <c r="H1" s="1" t="inlineStr">
        <is>
          <t xml:space="preserve">¿Reactivable?</t>
        </is>
      </c>
      <c r="I1" s="1" t="inlineStr">
        <is>
          <t xml:space="preserve">Responsable seguimiento</t>
        </is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6" customWidth="1"/>
    <col min="5" max="5" width="22" customWidth="1"/>
    <col min="6" max="6" width="16" customWidth="1"/>
    <col min="7" max="7" width="8" customWidth="1"/>
    <col min="8" max="8" width="20" customWidth="1"/>
    <col min="9" max="9" width="14" customWidth="1"/>
    <col min="10" max="10" width="14" customWidth="1"/>
    <col min="11" max="11" width="12" customWidth="1"/>
    <col min="12" max="12" width="14" customWidth="1"/>
    <col min="13" max="13" width="12" customWidth="1"/>
    <col min="14" max="14" width="20" customWidth="1"/>
    <col min="15" max="15" width="18" customWidth="1"/>
    <col min="16" max="16" width="16" customWidth="1"/>
    <col min="17" max="17" width="24" customWidth="1"/>
  </cols>
  <sheetData>
    <row r="1">
      <c r="A1" s="1" t="inlineStr">
        <is>
          <t xml:space="preserve">Fecha</t>
        </is>
      </c>
      <c r="B1" s="1" t="inlineStr">
        <is>
          <t xml:space="preserve">Nombre</t>
        </is>
      </c>
      <c r="C1" s="1" t="inlineStr">
        <is>
          <t xml:space="preserve">Teléfono</t>
        </is>
      </c>
      <c r="D1" s="1" t="inlineStr">
        <is>
          <t xml:space="preserve">Medio contacto</t>
        </is>
      </c>
      <c r="E1" s="1" t="inlineStr">
        <is>
          <t xml:space="preserve">Anuncio / Origen (UTM)</t>
        </is>
      </c>
      <c r="F1" s="1" t="inlineStr">
        <is>
          <t xml:space="preserve">SEGMENTO/Producto</t>
        </is>
      </c>
      <c r="G1" s="1" t="inlineStr">
        <is>
          <t xml:space="preserve">Edad</t>
        </is>
      </c>
      <c r="H1" s="1" t="inlineStr">
        <is>
          <t xml:space="preserve">Etapa</t>
        </is>
      </c>
      <c r="I1" s="1" t="inlineStr">
        <is>
          <t xml:space="preserve">Fecha info enviada</t>
        </is>
      </c>
      <c r="J1" s="1" t="inlineStr">
        <is>
          <t xml:space="preserve">Fecha seg. 1</t>
        </is>
      </c>
      <c r="K1" s="1" t="inlineStr">
        <is>
          <t xml:space="preserve">Fecha seg. 2</t>
        </is>
      </c>
      <c r="L1" s="1" t="inlineStr">
        <is>
          <t xml:space="preserve">Registrado CM</t>
        </is>
      </c>
      <c r="M1" s="1" t="inlineStr">
        <is>
          <t xml:space="preserve">Asistió CM</t>
        </is>
      </c>
      <c r="N1" s="1" t="inlineStr">
        <is>
          <t xml:space="preserve">Resultado</t>
        </is>
      </c>
      <c r="O1" s="1" t="inlineStr">
        <is>
          <t xml:space="preserve">Motivo si no cierra</t>
        </is>
      </c>
      <c r="P1" s="1" t="inlineStr">
        <is>
          <t xml:space="preserve">Grupo asignado</t>
        </is>
      </c>
      <c r="Q1" s="1" t="inlineStr">
        <is>
          <t xml:space="preserve">Comentario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/>
    </row>
    <row r="63">
      <c r="A63" s="4" t="inlineStr">
        <is>
          <t xml:space="preserve">Valores sugeridos -&gt;</t>
        </is>
      </c>
    </row>
    <row r="64">
      <c r="A64" s="4" t="inlineStr">
        <is>
          <t xml:space="preserve">Etapa:</t>
        </is>
      </c>
      <c r="B64" t="inlineStr">
        <is>
          <t xml:space="preserve">Nuevo / Contactado / Info enviada / En seguimiento / CM agendada / CM asistió / Cerrado</t>
        </is>
      </c>
    </row>
    <row r="65">
      <c r="A65" s="4" t="inlineStr">
        <is>
          <t xml:space="preserve">Registrado CM / Asistió CM:</t>
        </is>
      </c>
      <c r="B65" t="inlineStr">
        <is>
          <t xml:space="preserve">Si / No</t>
        </is>
      </c>
    </row>
    <row r="66">
      <c r="A66" s="4" t="inlineStr">
        <is>
          <t xml:space="preserve">Resultado:</t>
        </is>
      </c>
      <c r="B66" t="inlineStr">
        <is>
          <t xml:space="preserve">Inscrito / En proceso / No interesado / Reactivar / Sin respuesta</t>
        </is>
      </c>
    </row>
    <row r="67">
      <c r="A67" s="4" t="inlineStr">
        <is>
          <t xml:space="preserve">SEGMENTO (OBLIGATORIO):</t>
        </is>
      </c>
      <c r="B67" t="inlineStr">
        <is>
          <t xml:space="preserve">Kids / Junior / College / Parenthood / Certification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4" customWidth="1"/>
    <col min="3" max="3" width="16" customWidth="1"/>
    <col min="4" max="4" width="12" customWidth="1"/>
    <col min="5" max="5" width="20" customWidth="1"/>
    <col min="6" max="6" width="14" customWidth="1"/>
    <col min="7" max="7" width="22" customWidth="1"/>
    <col min="8" max="8" width="14" customWidth="1"/>
    <col min="9" max="9" width="26" customWidth="1"/>
  </cols>
  <sheetData>
    <row r="1">
      <c r="A1" s="1" t="inlineStr">
        <is>
          <t xml:space="preserve">Fecha</t>
        </is>
      </c>
      <c r="B1" s="1" t="inlineStr">
        <is>
          <t xml:space="preserve">Nombre</t>
        </is>
      </c>
      <c r="C1" s="1" t="inlineStr">
        <is>
          <t xml:space="preserve">Producto</t>
        </is>
      </c>
      <c r="D1" s="1" t="inlineStr">
        <is>
          <t xml:space="preserve">Grupo</t>
        </is>
      </c>
      <c r="E1" s="1" t="inlineStr">
        <is>
          <t xml:space="preserve">Medio de origen</t>
        </is>
      </c>
      <c r="F1" s="1" t="inlineStr">
        <is>
          <t xml:space="preserve">¿Referido?</t>
        </is>
      </c>
      <c r="G1" s="1" t="inlineStr">
        <is>
          <t xml:space="preserve">Referido por (nombre)</t>
        </is>
      </c>
      <c r="H1" s="1" t="inlineStr">
        <is>
          <t xml:space="preserve">Mensualidad $</t>
        </is>
      </c>
      <c r="I1" s="1" t="inlineStr">
        <is>
          <t xml:space="preserve">Notas</t>
        </is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Data>
    <row r="1">
      <c r="A1" s="1" t="inlineStr">
        <is>
          <t xml:space="preserve">PANEL MENSUAL — llena las columnas amarillas, el resto se calcula</t>
        </is>
      </c>
      <c r="B1" s="1"/>
      <c r="C1" s="1"/>
      <c r="D1" s="1"/>
      <c r="E1" s="1"/>
      <c r="F1" s="1"/>
      <c r="G1" s="1"/>
      <c r="H1" s="1"/>
      <c r="I1" s="1"/>
    </row>
    <row r="2">
      <c r="A2" s="1" t="inlineStr">
        <is>
          <t xml:space="preserve">Mes</t>
        </is>
      </c>
      <c r="B2" s="1" t="inlineStr">
        <is>
          <t xml:space="preserve">Inversión pauta $</t>
        </is>
      </c>
      <c r="C2" s="1" t="inlineStr">
        <is>
          <t xml:space="preserve">Leads</t>
        </is>
      </c>
      <c r="D2" s="1" t="inlineStr">
        <is>
          <t xml:space="preserve">CM agendadas</t>
        </is>
      </c>
      <c r="E2" s="1" t="inlineStr">
        <is>
          <t xml:space="preserve">CM efectivas</t>
        </is>
      </c>
      <c r="F2" s="1" t="inlineStr">
        <is>
          <t xml:space="preserve">Inscritos</t>
        </is>
      </c>
      <c r="G2" s="1" t="inlineStr">
        <is>
          <t xml:space="preserve">Bajas</t>
        </is>
      </c>
      <c r="H2" s="1" t="inlineStr">
        <is>
          <t xml:space="preserve">Alumnos activos fin</t>
        </is>
      </c>
      <c r="I2"/>
    </row>
    <row r="3">
      <c r="A3" s="5" t="inlineStr">
        <is>
          <t xml:space="preserve">Septiembre</t>
        </is>
      </c>
      <c r="B3" s="2"/>
      <c r="C3" s="2"/>
      <c r="D3" s="2"/>
      <c r="E3" s="2"/>
      <c r="F3" s="2"/>
      <c r="G3" s="2"/>
      <c r="H3" s="2"/>
      <c r="I3"/>
    </row>
    <row r="4">
      <c r="A4" s="5" t="inlineStr">
        <is>
          <t xml:space="preserve">Octubre</t>
        </is>
      </c>
      <c r="B4" s="2"/>
      <c r="C4" s="2"/>
      <c r="D4" s="2"/>
      <c r="E4" s="2"/>
      <c r="F4" s="2"/>
      <c r="G4" s="2"/>
      <c r="H4" s="2"/>
      <c r="I4"/>
    </row>
    <row r="5">
      <c r="A5" s="5" t="inlineStr">
        <is>
          <t xml:space="preserve">Noviembre</t>
        </is>
      </c>
      <c r="B5" s="2"/>
      <c r="C5" s="2"/>
      <c r="D5" s="2"/>
      <c r="E5" s="2"/>
      <c r="F5" s="2"/>
      <c r="G5" s="2"/>
      <c r="H5" s="2"/>
      <c r="I5"/>
    </row>
    <row r="6">
      <c r="A6" s="5" t="inlineStr">
        <is>
          <t xml:space="preserve">Diciembre</t>
        </is>
      </c>
      <c r="B6" s="2"/>
      <c r="C6" s="2"/>
      <c r="D6" s="2"/>
      <c r="E6" s="2"/>
      <c r="F6" s="2"/>
      <c r="G6" s="2"/>
      <c r="H6" s="2"/>
      <c r="I6"/>
    </row>
    <row r="7">
      <c r="A7"/>
    </row>
    <row r="8">
      <c r="A8" s="1" t="inlineStr">
        <is>
          <t xml:space="preserve">INDICADORES CALCULADOS</t>
        </is>
      </c>
      <c r="B8" s="1" t="inlineStr">
        <is>
          <t xml:space="preserve">Sep</t>
        </is>
      </c>
      <c r="C8" s="1" t="inlineStr">
        <is>
          <t xml:space="preserve">Oct</t>
        </is>
      </c>
      <c r="D8" s="1" t="inlineStr">
        <is>
          <t xml:space="preserve">Nov</t>
        </is>
      </c>
      <c r="E8" s="1" t="inlineStr">
        <is>
          <t xml:space="preserve">Dic</t>
        </is>
      </c>
      <c r="F8"/>
      <c r="G8"/>
      <c r="H8"/>
      <c r="I8"/>
    </row>
    <row r="9">
      <c r="A9" s="5" t="inlineStr">
        <is>
          <t xml:space="preserve">CPL (costo por lead) $</t>
        </is>
      </c>
      <c r="B9" s="3">
        <f>IF(C3=0,"",B3/C3)</f>
      </c>
      <c r="C9" s="3">
        <f>IF(C4=0,"",B4/C4)</f>
      </c>
      <c r="D9" s="3">
        <f>IF(C5=0,"",B5/C5)</f>
      </c>
      <c r="E9" s="3">
        <f>IF(C6=0,"",B6/C6)</f>
      </c>
      <c r="F9"/>
      <c r="G9"/>
      <c r="H9"/>
      <c r="I9"/>
    </row>
    <row r="10">
      <c r="A10" s="5" t="inlineStr">
        <is>
          <t xml:space="preserve">Lead -&gt; CM agendada %</t>
        </is>
      </c>
      <c r="B10" s="3">
        <f>IF(C3=0,"",D3/C3)</f>
      </c>
      <c r="C10" s="3">
        <f>IF(C4=0,"",D4/C4)</f>
      </c>
      <c r="D10" s="3">
        <f>IF(C5=0,"",D5/C5)</f>
      </c>
      <c r="E10" s="3">
        <f>IF(C6=0,"",D6/C6)</f>
      </c>
      <c r="F10"/>
      <c r="G10"/>
      <c r="H10"/>
      <c r="I10"/>
    </row>
    <row r="11">
      <c r="A11" s="5" t="inlineStr">
        <is>
          <t xml:space="preserve">CM agendada -&gt; efectiva %</t>
        </is>
      </c>
      <c r="B11" s="3">
        <f>IF(D3=0,"",E3/D3)</f>
      </c>
      <c r="C11" s="3">
        <f>IF(D4=0,"",E4/D4)</f>
      </c>
      <c r="D11" s="3">
        <f>IF(D5=0,"",E5/D5)</f>
      </c>
      <c r="E11" s="3">
        <f>IF(D6=0,"",E6/D6)</f>
      </c>
      <c r="F11"/>
      <c r="G11"/>
      <c r="H11"/>
      <c r="I11"/>
    </row>
    <row r="12">
      <c r="A12" s="5" t="inlineStr">
        <is>
          <t xml:space="preserve">CM efectiva -&gt; inscrito %</t>
        </is>
      </c>
      <c r="B12" s="3">
        <f>IF(E3=0,"",F3/E3)</f>
      </c>
      <c r="C12" s="3">
        <f>IF(E4=0,"",F4/E4)</f>
      </c>
      <c r="D12" s="3">
        <f>IF(E5=0,"",F5/E5)</f>
      </c>
      <c r="E12" s="3">
        <f>IF(E6=0,"",F6/E6)</f>
      </c>
      <c r="F12"/>
      <c r="G12"/>
      <c r="H12"/>
      <c r="I12"/>
    </row>
    <row r="13">
      <c r="A13" s="5" t="inlineStr">
        <is>
          <t xml:space="preserve">Lead -&gt; inscrito %</t>
        </is>
      </c>
      <c r="B13" s="3">
        <f>IF(C3=0,"",F3/C3)</f>
      </c>
      <c r="C13" s="3">
        <f>IF(C4=0,"",F4/C4)</f>
      </c>
      <c r="D13" s="3">
        <f>IF(C5=0,"",F5/C5)</f>
      </c>
      <c r="E13" s="3">
        <f>IF(C6=0,"",F6/C6)</f>
      </c>
      <c r="F13"/>
      <c r="G13"/>
      <c r="H13"/>
      <c r="I13"/>
    </row>
    <row r="14">
      <c r="A14" s="5" t="inlineStr">
        <is>
          <t xml:space="preserve">CAC (costo por inscrito) $</t>
        </is>
      </c>
      <c r="B14" s="3">
        <f>IF(F3=0,"",B3/F3)</f>
      </c>
      <c r="C14" s="3">
        <f>IF(F4=0,"",B4/F4)</f>
      </c>
      <c r="D14" s="3">
        <f>IF(F5=0,"",B5/F5)</f>
      </c>
      <c r="E14" s="3">
        <f>IF(F6=0,"",B6/F6)</f>
      </c>
      <c r="F14"/>
      <c r="G14"/>
      <c r="H14"/>
      <c r="I14"/>
    </row>
    <row r="15">
      <c r="A15" s="5" t="inlineStr">
        <is>
          <t xml:space="preserve">Crecimiento neto (inscritos-bajas)</t>
        </is>
      </c>
      <c r="B15" s="3">
        <f>F3-G3</f>
      </c>
      <c r="C15" s="3">
        <f>F4-G4</f>
      </c>
      <c r="D15" s="3">
        <f>F5-G5</f>
      </c>
      <c r="E15" s="3">
        <f>F6-G6</f>
      </c>
      <c r="F15"/>
      <c r="G15"/>
      <c r="H15"/>
      <c r="I15"/>
    </row>
    <row r="16">
      <c r="A16"/>
    </row>
    <row r="17">
      <c r="A17" s="4" t="inlineStr">
        <is>
          <t xml:space="preserve">Referencia (datos reales May+Jul):</t>
        </is>
      </c>
    </row>
    <row r="18">
      <c r="A18" t="inlineStr">
        <is>
          <t xml:space="preserve">Lead-&gt;CM 15% · CM-&gt;efectiva 71% · efectiva-&gt;inscrito 72% · Lead-&gt;inscrito 7.8% · CPL $23.80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  <col min="3" max="3" width="14" customWidth="1"/>
    <col min="4" max="4" width="14" customWidth="1"/>
    <col min="5" max="5" width="10" customWidth="1"/>
  </cols>
  <sheetData>
    <row r="1">
      <c r="A1" s="1" t="inlineStr">
        <is>
          <t xml:space="preserve">SIMULADOR — cambia las celdas amarillas y mira los resultados</t>
        </is>
      </c>
      <c r="B1" s="1"/>
      <c r="C1" s="1"/>
      <c r="D1" s="1"/>
      <c r="E1"/>
    </row>
    <row r="2">
      <c r="A2" s="4" t="inlineStr">
        <is>
          <t xml:space="preserve">PARÁMETROS (edita)</t>
        </is>
      </c>
      <c r="B2"/>
      <c r="C2"/>
      <c r="D2"/>
      <c r="E2"/>
    </row>
    <row r="3">
      <c r="A3" s="5" t="inlineStr">
        <is>
          <t xml:space="preserve">Alumnos activos hoy</t>
        </is>
      </c>
      <c r="B3" s="2">
        <v>65</v>
      </c>
      <c r="C3"/>
      <c r="D3"/>
      <c r="E3"/>
    </row>
    <row r="4">
      <c r="A4" s="5" t="inlineStr">
        <is>
          <t xml:space="preserve">Meses del plan (Sep-Dic)</t>
        </is>
      </c>
      <c r="B4" s="2">
        <v>4</v>
      </c>
      <c r="C4"/>
      <c r="D4"/>
      <c r="E4"/>
    </row>
    <row r="5">
      <c r="A5" s="5" t="inlineStr">
        <is>
          <t xml:space="preserve">Churn mensual % (decimal, ej 0.05)</t>
        </is>
      </c>
      <c r="B5" s="2">
        <v>0.05</v>
      </c>
      <c r="C5"/>
      <c r="D5"/>
      <c r="E5"/>
    </row>
    <row r="6">
      <c r="A6" s="5" t="inlineStr">
        <is>
          <t xml:space="preserve">Conversión Lead-&gt;Inscrito (decimal)</t>
        </is>
      </c>
      <c r="B6" s="2">
        <v>0.078</v>
      </c>
      <c r="C6"/>
      <c r="D6"/>
      <c r="E6"/>
    </row>
    <row r="7">
      <c r="A7" s="5" t="inlineStr">
        <is>
          <t xml:space="preserve">CPL costo por lead $</t>
        </is>
      </c>
      <c r="B7" s="2">
        <v>23.8</v>
      </c>
      <c r="C7"/>
      <c r="D7"/>
      <c r="E7"/>
    </row>
    <row r="8">
      <c r="A8"/>
    </row>
    <row r="9">
      <c r="A9" s="1" t="inlineStr">
        <is>
          <t xml:space="preserve">ESCENARIOS</t>
        </is>
      </c>
      <c r="B9" s="1" t="inlineStr">
        <is>
          <t xml:space="preserve">Conservador</t>
        </is>
      </c>
      <c r="C9" s="1" t="inlineStr">
        <is>
          <t xml:space="preserve">Objetivo</t>
        </is>
      </c>
      <c r="D9" s="1" t="inlineStr">
        <is>
          <t xml:space="preserve">Agresivo</t>
        </is>
      </c>
      <c r="E9"/>
    </row>
    <row r="10">
      <c r="A10" s="5" t="inlineStr">
        <is>
          <t xml:space="preserve">Meta de alumnos (edita)</t>
        </is>
      </c>
      <c r="B10" s="2">
        <v>100</v>
      </c>
      <c r="C10" s="2">
        <v>110</v>
      </c>
      <c r="D10" s="2">
        <v>120</v>
      </c>
      <c r="E10"/>
    </row>
    <row r="11">
      <c r="A11" s="5" t="inlineStr">
        <is>
          <t xml:space="preserve">Crecimiento neto necesario</t>
        </is>
      </c>
      <c r="B11" s="3">
        <f>B10-$B$3</f>
      </c>
      <c r="C11" s="3">
        <f>C10-$B$3</f>
      </c>
      <c r="D11" s="3">
        <f>D10-$B$3</f>
      </c>
      <c r="E11"/>
    </row>
    <row r="12">
      <c r="A12" s="5" t="inlineStr">
        <is>
          <t xml:space="preserve">Bajas estimadas en el periodo</t>
        </is>
      </c>
      <c r="B12" s="3">
        <f>$B$3*$B$5*$B$4</f>
      </c>
      <c r="C12" s="3">
        <f>$B$3*$B$5*$B$4</f>
      </c>
      <c r="D12" s="3">
        <f>$B$3*$B$5*$B$4</f>
      </c>
      <c r="E12"/>
    </row>
    <row r="13">
      <c r="A13" s="5" t="inlineStr">
        <is>
          <t xml:space="preserve">Inscritos BRUTOS necesarios (periodo)</t>
        </is>
      </c>
      <c r="B13" s="3">
        <f>B11+B12</f>
      </c>
      <c r="C13" s="3">
        <f>C11+C12</f>
      </c>
      <c r="D13" s="3">
        <f>D11+D12</f>
      </c>
      <c r="E13"/>
    </row>
    <row r="14">
      <c r="A14" s="5" t="inlineStr">
        <is>
          <t xml:space="preserve">Inscritos brutos / mes</t>
        </is>
      </c>
      <c r="B14" s="3">
        <f>B13/$B$4</f>
      </c>
      <c r="C14" s="3">
        <f>C13/$B$4</f>
      </c>
      <c r="D14" s="3">
        <f>D13/$B$4</f>
      </c>
      <c r="E14"/>
    </row>
    <row r="15">
      <c r="A15" s="5" t="inlineStr">
        <is>
          <t xml:space="preserve">Leads necesarios / mes</t>
        </is>
      </c>
      <c r="B15" s="3">
        <f>IF($B$6=0,"",B14/$B$6)</f>
      </c>
      <c r="C15" s="3">
        <f>IF($B$6=0,"",C14/$B$6)</f>
      </c>
      <c r="D15" s="3">
        <f>IF($B$6=0,"",D14/$B$6)</f>
      </c>
      <c r="E15"/>
    </row>
    <row r="16">
      <c r="A16" s="5" t="inlineStr">
        <is>
          <t xml:space="preserve">Pauta Meta / mes $ (a este CPL)</t>
        </is>
      </c>
      <c r="B16" s="3">
        <f>B15*$B$7</f>
      </c>
      <c r="C16" s="3">
        <f>C15*$B$7</f>
      </c>
      <c r="D16" s="3">
        <f>D15*$B$7</f>
      </c>
      <c r="E16"/>
    </row>
    <row r="17">
      <c r="A17"/>
    </row>
    <row r="18">
      <c r="A18" s="4" t="inlineStr">
        <is>
          <t xml:space="preserve">Prueba: sube la conversión a 0.11 en B6 y mira cómo bajan los leads/pauta necesarios.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42" customWidth="1"/>
    <col min="3" max="3" width="30" customWidth="1"/>
    <col min="4" max="4" width="20" customWidth="1"/>
    <col min="5" max="5" width="14" customWidth="1"/>
  </cols>
  <sheetData>
    <row r="1">
      <c r="A1" s="1" t="inlineStr">
        <is>
          <t xml:space="preserve">Prio</t>
        </is>
      </c>
      <c r="B1" s="1" t="inlineStr">
        <is>
          <t xml:space="preserve">Dato requerido</t>
        </is>
      </c>
      <c r="C1" s="1" t="inlineStr">
        <is>
          <t xml:space="preserve">Por qué se necesita</t>
        </is>
      </c>
      <c r="D1" s="1" t="inlineStr">
        <is>
          <t xml:space="preserve">Responsable</t>
        </is>
      </c>
      <c r="E1" s="1" t="inlineStr">
        <is>
          <t xml:space="preserve">Estado</t>
        </is>
      </c>
    </row>
    <row r="2">
      <c r="A2" s="5" t="inlineStr">
        <is>
          <t xml:space="preserve">🔴</t>
        </is>
      </c>
      <c r="B2" s="5" t="inlineStr">
        <is>
          <t xml:space="preserve">Bajas mensuales típicas (churn)</t>
        </is>
      </c>
      <c r="C2" t="inlineStr">
        <is>
          <t xml:space="preserve">Calcular alumnos nuevos necesarios</t>
        </is>
      </c>
      <c r="D2" s="2"/>
      <c r="E2" s="2" t="inlineStr">
        <is>
          <t xml:space="preserve">Pendiente</t>
        </is>
      </c>
    </row>
    <row r="3">
      <c r="A3" s="5" t="inlineStr">
        <is>
          <t xml:space="preserve">🔴</t>
        </is>
      </c>
      <c r="B3" s="5" t="inlineStr">
        <is>
          <t xml:space="preserve">Nº de grupos y lugares libres por grupo</t>
        </is>
      </c>
      <c r="C3" t="inlineStr">
        <is>
          <t xml:space="preserve">Regla de capacidad; dónde meter demanda</t>
        </is>
      </c>
      <c r="D3" s="2"/>
      <c r="E3" s="2" t="inlineStr">
        <is>
          <t xml:space="preserve">Pendiente</t>
        </is>
      </c>
    </row>
    <row r="4">
      <c r="A4" s="5" t="inlineStr">
        <is>
          <t xml:space="preserve">🔴</t>
        </is>
      </c>
      <c r="B4" s="5" t="inlineStr">
        <is>
          <t xml:space="preserve">Nº de profesores / techo de la academia</t>
        </is>
      </c>
      <c r="C4" t="inlineStr">
        <is>
          <t xml:space="preserve">Saber si 120 es viable</t>
        </is>
      </c>
      <c r="D4" s="2"/>
      <c r="E4" s="2" t="inlineStr">
        <is>
          <t xml:space="preserve">Pendiente</t>
        </is>
      </c>
    </row>
    <row r="5">
      <c r="A5" s="5" t="inlineStr">
        <is>
          <t xml:space="preserve">🟡</t>
        </is>
      </c>
      <c r="B5" s="5" t="inlineStr">
        <is>
          <t xml:space="preserve">Alumnos activos exactos por producto</t>
        </is>
      </c>
      <c r="C5" t="inlineStr">
        <is>
          <t xml:space="preserve">Metas por producto</t>
        </is>
      </c>
      <c r="D5" s="2"/>
      <c r="E5" s="2" t="inlineStr">
        <is>
          <t xml:space="preserve">Pendiente</t>
        </is>
      </c>
    </row>
    <row r="6">
      <c r="A6" s="5" t="inlineStr">
        <is>
          <t xml:space="preserve">🟡</t>
        </is>
      </c>
      <c r="B6" s="5" t="inlineStr">
        <is>
          <t xml:space="preserve">Meta de ingresos de Dirección</t>
        </is>
      </c>
      <c r="C6" t="inlineStr">
        <is>
          <t xml:space="preserve">Alinear marketing a $$</t>
        </is>
      </c>
      <c r="D6" s="2"/>
      <c r="E6" s="2" t="inlineStr">
        <is>
          <t xml:space="preserve">Pendiente</t>
        </is>
      </c>
    </row>
    <row r="7">
      <c r="A7" s="5" t="inlineStr">
        <is>
          <t xml:space="preserve">🟡</t>
        </is>
      </c>
      <c r="B7" s="5" t="inlineStr">
        <is>
          <t xml:space="preserve">Resultados campaña activa (ago-sep)</t>
        </is>
      </c>
      <c r="C7" t="inlineStr">
        <is>
          <t xml:space="preserve">Optimizar pauta</t>
        </is>
      </c>
      <c r="D7" s="2"/>
      <c r="E7" s="2" t="inlineStr">
        <is>
          <t xml:space="preserve">En curso</t>
        </is>
      </c>
    </row>
    <row r="8">
      <c r="A8" s="5" t="inlineStr">
        <is>
          <t xml:space="preserve">🟢</t>
        </is>
      </c>
      <c r="B8" s="5" t="inlineStr">
        <is>
          <t xml:space="preserve">Motivos de baja detallados</t>
        </is>
      </c>
      <c r="C8" t="inlineStr">
        <is>
          <t xml:space="preserve">Diseñar retención</t>
        </is>
      </c>
      <c r="D8" s="2"/>
      <c r="E8" s="2" t="inlineStr">
        <is>
          <t xml:space="preserve">Pendiente</t>
        </is>
      </c>
    </row>
    <row r="9">
      <c r="A9" s="5" t="inlineStr">
        <is>
          <t xml:space="preserve">🟢</t>
        </is>
      </c>
      <c r="B9" s="5" t="inlineStr">
        <is>
          <t xml:space="preserve">Testimonios/casos disponibles</t>
        </is>
      </c>
      <c r="C9" t="inlineStr">
        <is>
          <t xml:space="preserve">Alimentar reels testimoniales</t>
        </is>
      </c>
      <c r="D9" s="2"/>
      <c r="E9" s="2" t="inlineStr">
        <is>
          <t xml:space="preserve">Pendiente</t>
        </is>
      </c>
    </row>
  </sheetData>
</worksheet>
</file>